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ctuaries\CS2\cs2 calculator\"/>
    </mc:Choice>
  </mc:AlternateContent>
  <xr:revisionPtr revIDLastSave="0" documentId="13_ncr:1_{05D26EA3-AB79-4F65-8E15-5C7CB64BE3DA}" xr6:coauthVersionLast="46" xr6:coauthVersionMax="46" xr10:uidLastSave="{00000000-0000-0000-0000-000000000000}"/>
  <bookViews>
    <workbookView xWindow="-108" yWindow="-108" windowWidth="23256" windowHeight="12576" activeTab="1" xr2:uid="{2872E4D0-1B63-4EE8-9255-659B0558B87F}"/>
  </bookViews>
  <sheets>
    <sheet name="stationary calc" sheetId="1" r:id="rId1"/>
    <sheet name="Matrix exponential" sheetId="2" r:id="rId2"/>
  </sheets>
  <definedNames>
    <definedName name="solver_adj" localSheetId="0" hidden="1">'stationary calc'!$B$38:$I$38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'stationary calc'!$K$5:$K$13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'stationary calc'!$K$13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'stationary calc'!$M$5:$M$13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1</definedName>
    <definedName name="solver_ver" localSheetId="0" hidden="1">3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9" i="2" l="1"/>
  <c r="V29" i="2"/>
  <c r="W29" i="2"/>
  <c r="X29" i="2"/>
  <c r="U30" i="2"/>
  <c r="V30" i="2"/>
  <c r="W30" i="2"/>
  <c r="X30" i="2"/>
  <c r="U31" i="2"/>
  <c r="V31" i="2"/>
  <c r="W31" i="2"/>
  <c r="X31" i="2"/>
  <c r="U32" i="2"/>
  <c r="V32" i="2"/>
  <c r="W32" i="2"/>
  <c r="X32" i="2"/>
  <c r="U33" i="2"/>
  <c r="V33" i="2"/>
  <c r="W33" i="2"/>
  <c r="X33" i="2"/>
  <c r="T30" i="2"/>
  <c r="T31" i="2"/>
  <c r="T32" i="2"/>
  <c r="T33" i="2"/>
  <c r="T29" i="2"/>
  <c r="T11" i="2"/>
  <c r="U11" i="2"/>
  <c r="V11" i="2"/>
  <c r="T12" i="2"/>
  <c r="U12" i="2"/>
  <c r="V12" i="2"/>
  <c r="T13" i="2"/>
  <c r="U13" i="2"/>
  <c r="V13" i="2"/>
  <c r="T14" i="2"/>
  <c r="U14" i="2"/>
  <c r="V14" i="2"/>
  <c r="S12" i="2"/>
  <c r="S13" i="2"/>
  <c r="S14" i="2"/>
  <c r="S11" i="2"/>
  <c r="H21" i="2"/>
  <c r="I21" i="2"/>
  <c r="H22" i="2"/>
  <c r="I22" i="2"/>
  <c r="H23" i="2"/>
  <c r="I23" i="2"/>
  <c r="G22" i="2"/>
  <c r="G23" i="2"/>
  <c r="G21" i="2"/>
  <c r="G9" i="2"/>
  <c r="G10" i="2"/>
  <c r="F10" i="2"/>
  <c r="F9" i="2"/>
  <c r="C40" i="1" l="1"/>
  <c r="D40" i="1"/>
  <c r="E40" i="1"/>
  <c r="F40" i="1"/>
  <c r="G40" i="1"/>
  <c r="H40" i="1"/>
  <c r="I40" i="1"/>
  <c r="B40" i="1"/>
  <c r="I39" i="1"/>
  <c r="C39" i="1"/>
  <c r="D39" i="1"/>
  <c r="E39" i="1"/>
  <c r="F39" i="1"/>
  <c r="G39" i="1"/>
  <c r="H39" i="1"/>
  <c r="B39" i="1"/>
  <c r="K13" i="1"/>
  <c r="B18" i="1" a="1"/>
  <c r="C18" i="1" s="1"/>
  <c r="A19" i="1"/>
  <c r="A31" i="1" s="1"/>
  <c r="A20" i="1"/>
  <c r="A32" i="1" s="1"/>
  <c r="A21" i="1"/>
  <c r="A33" i="1" s="1"/>
  <c r="A22" i="1"/>
  <c r="A34" i="1" s="1"/>
  <c r="A23" i="1"/>
  <c r="A35" i="1" s="1"/>
  <c r="A24" i="1"/>
  <c r="A36" i="1" s="1"/>
  <c r="A25" i="1"/>
  <c r="A37" i="1" s="1"/>
  <c r="A18" i="1"/>
  <c r="A30" i="1" s="1"/>
  <c r="C17" i="1"/>
  <c r="C29" i="1" s="1"/>
  <c r="D17" i="1"/>
  <c r="D29" i="1" s="1"/>
  <c r="E17" i="1"/>
  <c r="E29" i="1" s="1"/>
  <c r="F17" i="1"/>
  <c r="F29" i="1" s="1"/>
  <c r="G17" i="1"/>
  <c r="G29" i="1" s="1"/>
  <c r="H17" i="1"/>
  <c r="H29" i="1" s="1"/>
  <c r="I17" i="1"/>
  <c r="I29" i="1" s="1"/>
  <c r="B17" i="1"/>
  <c r="B29" i="1" s="1"/>
  <c r="H25" i="1" l="1"/>
  <c r="H37" i="1" s="1"/>
  <c r="D25" i="1"/>
  <c r="D37" i="1" s="1"/>
  <c r="H24" i="1"/>
  <c r="H36" i="1" s="1"/>
  <c r="D24" i="1"/>
  <c r="D36" i="1" s="1"/>
  <c r="H23" i="1"/>
  <c r="H35" i="1" s="1"/>
  <c r="D23" i="1"/>
  <c r="D35" i="1" s="1"/>
  <c r="H22" i="1"/>
  <c r="H34" i="1" s="1"/>
  <c r="D22" i="1"/>
  <c r="D34" i="1" s="1"/>
  <c r="H21" i="1"/>
  <c r="H33" i="1" s="1"/>
  <c r="D21" i="1"/>
  <c r="D33" i="1" s="1"/>
  <c r="H20" i="1"/>
  <c r="H32" i="1" s="1"/>
  <c r="D20" i="1"/>
  <c r="D32" i="1" s="1"/>
  <c r="H19" i="1"/>
  <c r="H31" i="1" s="1"/>
  <c r="D19" i="1"/>
  <c r="D31" i="1" s="1"/>
  <c r="H18" i="1"/>
  <c r="H30" i="1" s="1"/>
  <c r="D18" i="1"/>
  <c r="D30" i="1" s="1"/>
  <c r="F25" i="1"/>
  <c r="F37" i="1" s="1"/>
  <c r="B25" i="1"/>
  <c r="B37" i="1" s="1"/>
  <c r="F24" i="1"/>
  <c r="F36" i="1" s="1"/>
  <c r="B24" i="1"/>
  <c r="B36" i="1" s="1"/>
  <c r="F23" i="1"/>
  <c r="F35" i="1" s="1"/>
  <c r="B23" i="1"/>
  <c r="B35" i="1" s="1"/>
  <c r="F22" i="1"/>
  <c r="F34" i="1" s="1"/>
  <c r="B22" i="1"/>
  <c r="B34" i="1" s="1"/>
  <c r="F21" i="1"/>
  <c r="F33" i="1" s="1"/>
  <c r="B21" i="1"/>
  <c r="B33" i="1" s="1"/>
  <c r="F20" i="1"/>
  <c r="F32" i="1" s="1"/>
  <c r="B20" i="1"/>
  <c r="B32" i="1" s="1"/>
  <c r="F19" i="1"/>
  <c r="F31" i="1" s="1"/>
  <c r="B19" i="1"/>
  <c r="B31" i="1" s="1"/>
  <c r="F18" i="1"/>
  <c r="F30" i="1" s="1"/>
  <c r="B18" i="1"/>
  <c r="B30" i="1" s="1"/>
  <c r="I25" i="1"/>
  <c r="I37" i="1" s="1"/>
  <c r="E25" i="1"/>
  <c r="E37" i="1" s="1"/>
  <c r="I24" i="1"/>
  <c r="I36" i="1" s="1"/>
  <c r="E24" i="1"/>
  <c r="E36" i="1" s="1"/>
  <c r="I23" i="1"/>
  <c r="I35" i="1" s="1"/>
  <c r="E23" i="1"/>
  <c r="E35" i="1" s="1"/>
  <c r="I22" i="1"/>
  <c r="I34" i="1" s="1"/>
  <c r="E22" i="1"/>
  <c r="E34" i="1" s="1"/>
  <c r="I21" i="1"/>
  <c r="I33" i="1" s="1"/>
  <c r="E21" i="1"/>
  <c r="E33" i="1" s="1"/>
  <c r="I20" i="1"/>
  <c r="I32" i="1" s="1"/>
  <c r="E20" i="1"/>
  <c r="E32" i="1" s="1"/>
  <c r="I19" i="1"/>
  <c r="I31" i="1" s="1"/>
  <c r="E19" i="1"/>
  <c r="E31" i="1" s="1"/>
  <c r="I18" i="1"/>
  <c r="I30" i="1" s="1"/>
  <c r="E18" i="1"/>
  <c r="E30" i="1" s="1"/>
  <c r="G25" i="1"/>
  <c r="G37" i="1" s="1"/>
  <c r="C25" i="1"/>
  <c r="C37" i="1" s="1"/>
  <c r="G24" i="1"/>
  <c r="G36" i="1" s="1"/>
  <c r="C24" i="1"/>
  <c r="C36" i="1" s="1"/>
  <c r="G23" i="1"/>
  <c r="G35" i="1" s="1"/>
  <c r="C23" i="1"/>
  <c r="C35" i="1" s="1"/>
  <c r="G22" i="1"/>
  <c r="G34" i="1" s="1"/>
  <c r="C22" i="1"/>
  <c r="C34" i="1" s="1"/>
  <c r="G21" i="1"/>
  <c r="G33" i="1" s="1"/>
  <c r="C21" i="1"/>
  <c r="C33" i="1" s="1"/>
  <c r="G20" i="1"/>
  <c r="G32" i="1" s="1"/>
  <c r="C20" i="1"/>
  <c r="C32" i="1" s="1"/>
  <c r="G19" i="1"/>
  <c r="G31" i="1" s="1"/>
  <c r="C19" i="1"/>
  <c r="C31" i="1" s="1"/>
  <c r="G18" i="1"/>
  <c r="G30" i="1" s="1"/>
  <c r="C30" i="1"/>
  <c r="K5" i="1" l="1"/>
  <c r="K9" i="1"/>
  <c r="K11" i="1"/>
  <c r="K6" i="1"/>
  <c r="K8" i="1"/>
  <c r="K12" i="1"/>
  <c r="K7" i="1"/>
  <c r="K10" i="1"/>
  <c r="M13" i="2" l="1" a="1"/>
  <c r="M13" i="2" s="1"/>
  <c r="N16" i="2" l="1"/>
  <c r="N15" i="2"/>
  <c r="N14" i="2"/>
  <c r="N13" i="2"/>
  <c r="P16" i="2"/>
  <c r="P15" i="2"/>
  <c r="P14" i="2"/>
  <c r="P13" i="2"/>
  <c r="O16" i="2"/>
  <c r="O15" i="2"/>
  <c r="O14" i="2"/>
  <c r="O13" i="2"/>
  <c r="M16" i="2"/>
  <c r="M15" i="2"/>
  <c r="M14" i="2"/>
  <c r="M31" i="2" a="1"/>
  <c r="M31" i="2" s="1"/>
  <c r="O35" i="2" l="1"/>
  <c r="Q33" i="2"/>
  <c r="M33" i="2"/>
  <c r="N32" i="2"/>
  <c r="O31" i="2"/>
  <c r="Q34" i="2"/>
  <c r="N33" i="2"/>
  <c r="P31" i="2"/>
  <c r="N35" i="2"/>
  <c r="Q32" i="2"/>
  <c r="N31" i="2"/>
  <c r="P35" i="2"/>
  <c r="M34" i="2"/>
  <c r="O32" i="2"/>
  <c r="P34" i="2"/>
  <c r="O34" i="2"/>
  <c r="P33" i="2"/>
  <c r="M32" i="2"/>
  <c r="Q35" i="2"/>
  <c r="M35" i="2"/>
  <c r="N34" i="2"/>
  <c r="O33" i="2"/>
  <c r="P32" i="2"/>
  <c r="Q31" i="2"/>
  <c r="B11" i="2" a="1"/>
  <c r="B11" i="2" s="1"/>
  <c r="C12" i="2" l="1"/>
  <c r="B12" i="2"/>
  <c r="C11" i="2"/>
  <c r="B23" i="2" a="1"/>
  <c r="B23" i="2" s="1"/>
  <c r="B24" i="2" l="1"/>
  <c r="B25" i="2"/>
  <c r="D23" i="2"/>
  <c r="C25" i="2"/>
  <c r="D24" i="2"/>
  <c r="C23" i="2"/>
  <c r="D25" i="2"/>
  <c r="C2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Akhilesh Tibrewal</author>
  </authors>
  <commentList>
    <comment ref="K13" authorId="0" shapeId="0" xr:uid="{706C3310-0601-456D-9A58-33850674CD08}">
      <text>
        <r>
          <rPr>
            <b/>
            <sz val="9"/>
            <color indexed="81"/>
            <rFont val="Tahoma"/>
            <family val="2"/>
          </rPr>
          <t>Akhilesh Tibrewal:</t>
        </r>
        <r>
          <rPr>
            <sz val="9"/>
            <color indexed="81"/>
            <rFont val="Tahoma"/>
            <family val="2"/>
          </rPr>
          <t xml:space="preserve">
select this key before clicking solver</t>
        </r>
      </text>
    </comment>
  </commentList>
</comments>
</file>

<file path=xl/sharedStrings.xml><?xml version="1.0" encoding="utf-8"?>
<sst xmlns="http://schemas.openxmlformats.org/spreadsheetml/2006/main" count="136" uniqueCount="22">
  <si>
    <t>input matrix</t>
  </si>
  <si>
    <t>A</t>
  </si>
  <si>
    <t>B</t>
  </si>
  <si>
    <t>C</t>
  </si>
  <si>
    <t>D</t>
  </si>
  <si>
    <t>TPM</t>
  </si>
  <si>
    <t>transpose matrix</t>
  </si>
  <si>
    <t>Stationary Equillibrium in long run calculator</t>
  </si>
  <si>
    <t>TPM^t-Identity matrix</t>
  </si>
  <si>
    <t>TPM^t</t>
  </si>
  <si>
    <t>=</t>
  </si>
  <si>
    <t>eigen vectors</t>
  </si>
  <si>
    <t>E</t>
  </si>
  <si>
    <t>F</t>
  </si>
  <si>
    <t>G</t>
  </si>
  <si>
    <t>H</t>
  </si>
  <si>
    <t>(A-Identity matrix)*π</t>
  </si>
  <si>
    <t>π</t>
  </si>
  <si>
    <t>Matrix exponentials ( A^t)</t>
  </si>
  <si>
    <t>matrix order</t>
  </si>
  <si>
    <t>TPM^t-1</t>
  </si>
  <si>
    <t xml:space="preserve">matrix order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</si>
</sst>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9"/>
      <color rgb="FF22222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/>
    <xf numFmtId="0" fontId="0" fillId="2" borderId="0" xfId="0" applyFill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0" xfId="0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2" xfId="0" applyFill="1" applyBorder="1"/>
    <xf numFmtId="0" fontId="0" fillId="0" borderId="0" xfId="0" applyFill="1"/>
    <xf numFmtId="2" fontId="0" fillId="0" borderId="0" xfId="0" applyNumberFormat="1"/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2" xfId="0" applyFill="1" applyBorder="1"/>
    <xf numFmtId="0" fontId="3" fillId="0" borderId="1" xfId="0" applyFont="1" applyBorder="1"/>
    <xf numFmtId="0" fontId="0" fillId="5" borderId="0" xfId="0" applyFill="1"/>
    <xf numFmtId="0" fontId="0" fillId="0" borderId="1" xfId="0" applyFill="1" applyBorder="1"/>
    <xf numFmtId="0" fontId="0" fillId="0" borderId="5" xfId="0" applyFill="1" applyBorder="1"/>
    <xf numFmtId="0" fontId="0" fillId="0" borderId="6" xfId="0" applyBorder="1"/>
    <xf numFmtId="0" fontId="0" fillId="0" borderId="7" xfId="0" applyFill="1" applyBorder="1"/>
    <xf numFmtId="0" fontId="0" fillId="0" borderId="0" xfId="0" applyBorder="1"/>
    <xf numFmtId="0" fontId="0" fillId="0" borderId="8" xfId="0" applyBorder="1"/>
    <xf numFmtId="0" fontId="0" fillId="4" borderId="9" xfId="0" applyFill="1" applyBorder="1"/>
    <xf numFmtId="0" fontId="0" fillId="2" borderId="9" xfId="0" applyFill="1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5" xfId="0" applyBorder="1"/>
    <xf numFmtId="0" fontId="0" fillId="0" borderId="10" xfId="0" applyFill="1" applyBorder="1"/>
    <xf numFmtId="0" fontId="0" fillId="0" borderId="11" xfId="0" applyFill="1" applyBorder="1"/>
    <xf numFmtId="0" fontId="1" fillId="0" borderId="13" xfId="0" applyFont="1" applyFill="1" applyBorder="1"/>
    <xf numFmtId="0" fontId="0" fillId="0" borderId="14" xfId="0" applyFill="1" applyBorder="1"/>
    <xf numFmtId="0" fontId="1" fillId="0" borderId="13" xfId="0" applyFont="1" applyBorder="1"/>
    <xf numFmtId="0" fontId="0" fillId="0" borderId="14" xfId="0" applyBorder="1"/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</xdr:colOff>
      <xdr:row>15</xdr:row>
      <xdr:rowOff>0</xdr:rowOff>
    </xdr:from>
    <xdr:to>
      <xdr:col>15</xdr:col>
      <xdr:colOff>297180</xdr:colOff>
      <xdr:row>39</xdr:row>
      <xdr:rowOff>160020</xdr:rowOff>
    </xdr:to>
    <xdr:sp macro="[0]!eigenval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98920" y="2743200"/>
          <a:ext cx="1508760" cy="464820"/>
        </a:xfrm>
        <a:prstGeom prst="roundRect">
          <a:avLst/>
        </a:prstGeom>
        <a:ln>
          <a:solidFill>
            <a:schemeClr val="accent5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tx1">
                  <a:lumMod val="95000"/>
                  <a:lumOff val="5000"/>
                </a:schemeClr>
              </a:solidFill>
            </a:rPr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10</xdr:row>
          <xdr:rowOff>45720</xdr:rowOff>
        </xdr:from>
        <xdr:to>
          <xdr:col>5</xdr:col>
          <xdr:colOff>487680</xdr:colOff>
          <xdr:row>12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increase power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350520</xdr:colOff>
          <xdr:row>23</xdr:row>
          <xdr:rowOff>22860</xdr:rowOff>
        </xdr:from>
        <xdr:to>
          <xdr:col>6</xdr:col>
          <xdr:colOff>175260</xdr:colOff>
          <xdr:row>24</xdr:row>
          <xdr:rowOff>160020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increase power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</xdr:colOff>
          <xdr:row>14</xdr:row>
          <xdr:rowOff>7620</xdr:rowOff>
        </xdr:from>
        <xdr:to>
          <xdr:col>19</xdr:col>
          <xdr:colOff>7620</xdr:colOff>
          <xdr:row>15</xdr:row>
          <xdr:rowOff>167640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increase power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</xdr:colOff>
          <xdr:row>33</xdr:row>
          <xdr:rowOff>30480</xdr:rowOff>
        </xdr:from>
        <xdr:to>
          <xdr:col>19</xdr:col>
          <xdr:colOff>594360</xdr:colOff>
          <xdr:row>35</xdr:row>
          <xdr:rowOff>15240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increase power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6A37F-0793-48A0-9A48-E851AA6052FB}">
  <sheetPr codeName="Sheet1"/>
  <dimension ref="A1:W40"/>
  <sheetViews>
    <sheetView zoomScaleNormal="100" workbookViewId="0">
      <selection activeCell="E46" sqref="E46"/>
    </sheetView>
  </sheetViews>
  <sheetFormatPr defaultRowHeight="14.4" x14ac:dyDescent="0.3"/>
  <cols>
    <col min="1" max="1" width="11.44140625" customWidth="1"/>
    <col min="6" max="6" width="9.88671875" bestFit="1" customWidth="1"/>
    <col min="7" max="7" width="12.5546875" customWidth="1"/>
    <col min="11" max="11" width="17.6640625" hidden="1" customWidth="1"/>
    <col min="12" max="13" width="8.88671875" hidden="1" customWidth="1"/>
  </cols>
  <sheetData>
    <row r="1" spans="1:23" x14ac:dyDescent="0.3">
      <c r="A1" s="37" t="s">
        <v>7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</row>
    <row r="2" spans="1:23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</row>
    <row r="4" spans="1:23" x14ac:dyDescent="0.3">
      <c r="A4" s="39" t="s">
        <v>0</v>
      </c>
      <c r="B4" s="40"/>
      <c r="C4" s="40"/>
      <c r="D4" s="40"/>
      <c r="E4" s="40"/>
      <c r="F4" s="40"/>
      <c r="G4" s="40"/>
      <c r="H4" s="40"/>
      <c r="I4" s="40"/>
      <c r="J4" s="6"/>
      <c r="K4" t="s">
        <v>16</v>
      </c>
    </row>
    <row r="5" spans="1:23" x14ac:dyDescent="0.3">
      <c r="A5" s="5" t="s">
        <v>5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12</v>
      </c>
      <c r="G5" s="3" t="s">
        <v>13</v>
      </c>
      <c r="H5" s="3" t="s">
        <v>14</v>
      </c>
      <c r="I5" s="3" t="s">
        <v>15</v>
      </c>
      <c r="K5" s="10">
        <f t="shared" ref="K5:K12" si="0">SUMPRODUCT(B30:I30,$B$38:$I$38)</f>
        <v>2.1933451582745178E-11</v>
      </c>
      <c r="L5" t="s">
        <v>10</v>
      </c>
      <c r="M5">
        <v>0</v>
      </c>
    </row>
    <row r="6" spans="1:23" x14ac:dyDescent="0.3">
      <c r="A6" s="3" t="s">
        <v>1</v>
      </c>
      <c r="B6" s="4">
        <v>0.8</v>
      </c>
      <c r="C6" s="4">
        <v>0.1</v>
      </c>
      <c r="D6" s="4">
        <v>0.1</v>
      </c>
      <c r="E6" s="4"/>
      <c r="F6" s="4"/>
      <c r="G6" s="4"/>
      <c r="H6" s="4"/>
      <c r="I6" s="4"/>
      <c r="K6" s="10">
        <f t="shared" si="0"/>
        <v>3.9705712467918985E-9</v>
      </c>
      <c r="L6" t="s">
        <v>10</v>
      </c>
      <c r="M6">
        <v>0</v>
      </c>
    </row>
    <row r="7" spans="1:23" x14ac:dyDescent="0.3">
      <c r="A7" s="3" t="s">
        <v>2</v>
      </c>
      <c r="B7" s="4">
        <v>0.15</v>
      </c>
      <c r="C7" s="4">
        <v>0.7</v>
      </c>
      <c r="D7" s="4">
        <v>0.15</v>
      </c>
      <c r="E7" s="4"/>
      <c r="F7" s="4"/>
      <c r="G7" s="4"/>
      <c r="H7" s="4"/>
      <c r="I7" s="4"/>
      <c r="K7" s="10">
        <f t="shared" si="0"/>
        <v>-3.9925046671496212E-9</v>
      </c>
      <c r="L7" t="s">
        <v>10</v>
      </c>
      <c r="M7">
        <v>0</v>
      </c>
    </row>
    <row r="8" spans="1:23" x14ac:dyDescent="0.3">
      <c r="A8" s="3" t="s">
        <v>3</v>
      </c>
      <c r="B8" s="4">
        <v>0.05</v>
      </c>
      <c r="C8" s="4">
        <v>0.05</v>
      </c>
      <c r="D8" s="4">
        <v>0.9</v>
      </c>
      <c r="E8" s="4"/>
      <c r="F8" s="4"/>
      <c r="G8" s="4"/>
      <c r="H8" s="4"/>
      <c r="I8" s="4"/>
      <c r="K8" s="10">
        <f t="shared" si="0"/>
        <v>0</v>
      </c>
      <c r="L8" t="s">
        <v>10</v>
      </c>
      <c r="M8">
        <v>0</v>
      </c>
    </row>
    <row r="9" spans="1:23" x14ac:dyDescent="0.3">
      <c r="A9" s="3" t="s">
        <v>4</v>
      </c>
      <c r="B9" s="4"/>
      <c r="C9" s="4"/>
      <c r="D9" s="4"/>
      <c r="E9" s="4"/>
      <c r="F9" s="4"/>
      <c r="G9" s="4"/>
      <c r="H9" s="4"/>
      <c r="I9" s="4"/>
      <c r="K9" s="10">
        <f t="shared" si="0"/>
        <v>0</v>
      </c>
      <c r="L9" t="s">
        <v>10</v>
      </c>
      <c r="M9">
        <v>0</v>
      </c>
    </row>
    <row r="10" spans="1:23" x14ac:dyDescent="0.3">
      <c r="A10" s="3" t="s">
        <v>12</v>
      </c>
      <c r="B10" s="4"/>
      <c r="C10" s="4"/>
      <c r="D10" s="4"/>
      <c r="E10" s="4"/>
      <c r="F10" s="4"/>
      <c r="G10" s="4"/>
      <c r="H10" s="4"/>
      <c r="I10" s="4"/>
      <c r="K10" s="10">
        <f t="shared" si="0"/>
        <v>0</v>
      </c>
      <c r="L10" t="s">
        <v>10</v>
      </c>
      <c r="M10">
        <v>0</v>
      </c>
    </row>
    <row r="11" spans="1:23" x14ac:dyDescent="0.3">
      <c r="A11" s="3" t="s">
        <v>13</v>
      </c>
      <c r="B11" s="4"/>
      <c r="C11" s="4"/>
      <c r="D11" s="4"/>
      <c r="E11" s="4"/>
      <c r="F11" s="4"/>
      <c r="G11" s="4"/>
      <c r="H11" s="4"/>
      <c r="I11" s="4"/>
      <c r="K11" s="10">
        <f t="shared" si="0"/>
        <v>0</v>
      </c>
      <c r="L11" t="s">
        <v>10</v>
      </c>
      <c r="M11">
        <v>0</v>
      </c>
    </row>
    <row r="12" spans="1:23" x14ac:dyDescent="0.3">
      <c r="A12" s="3" t="s">
        <v>14</v>
      </c>
      <c r="B12" s="4"/>
      <c r="C12" s="4"/>
      <c r="D12" s="4"/>
      <c r="E12" s="4"/>
      <c r="F12" s="4"/>
      <c r="G12" s="4"/>
      <c r="H12" s="4"/>
      <c r="I12" s="4"/>
      <c r="K12" s="10">
        <f t="shared" si="0"/>
        <v>0</v>
      </c>
      <c r="L12" t="s">
        <v>10</v>
      </c>
      <c r="M12">
        <v>0</v>
      </c>
    </row>
    <row r="13" spans="1:23" x14ac:dyDescent="0.3">
      <c r="A13" s="3" t="s">
        <v>15</v>
      </c>
      <c r="B13" s="4"/>
      <c r="C13" s="4"/>
      <c r="D13" s="4"/>
      <c r="E13" s="4"/>
      <c r="F13" s="4"/>
      <c r="G13" s="4"/>
      <c r="H13" s="4"/>
      <c r="I13" s="4"/>
      <c r="K13" s="16">
        <f>SUM(B38:I38)</f>
        <v>1.0000000016885657</v>
      </c>
      <c r="L13" t="s">
        <v>10</v>
      </c>
      <c r="M13" s="9">
        <v>1</v>
      </c>
    </row>
    <row r="15" spans="1:23" hidden="1" x14ac:dyDescent="0.3"/>
    <row r="16" spans="1:23" hidden="1" x14ac:dyDescent="0.3">
      <c r="A16" s="36" t="s">
        <v>6</v>
      </c>
      <c r="B16" s="36"/>
      <c r="C16" s="36"/>
      <c r="D16" s="36"/>
      <c r="E16" s="36"/>
      <c r="F16" s="11"/>
      <c r="G16" s="11"/>
      <c r="H16" s="11"/>
      <c r="I16" s="11"/>
    </row>
    <row r="17" spans="1:9" hidden="1" x14ac:dyDescent="0.3">
      <c r="A17" s="5" t="s">
        <v>9</v>
      </c>
      <c r="B17" s="3" t="str">
        <f>B5</f>
        <v>A</v>
      </c>
      <c r="C17" s="3" t="str">
        <f t="shared" ref="C17:I17" si="1">C5</f>
        <v>B</v>
      </c>
      <c r="D17" s="3" t="str">
        <f t="shared" si="1"/>
        <v>C</v>
      </c>
      <c r="E17" s="3" t="str">
        <f t="shared" si="1"/>
        <v>D</v>
      </c>
      <c r="F17" s="3" t="str">
        <f t="shared" si="1"/>
        <v>E</v>
      </c>
      <c r="G17" s="3" t="str">
        <f t="shared" si="1"/>
        <v>F</v>
      </c>
      <c r="H17" s="3" t="str">
        <f t="shared" si="1"/>
        <v>G</v>
      </c>
      <c r="I17" s="3" t="str">
        <f t="shared" si="1"/>
        <v>H</v>
      </c>
    </row>
    <row r="18" spans="1:9" hidden="1" x14ac:dyDescent="0.3">
      <c r="A18" s="3" t="str">
        <f>A6</f>
        <v>A</v>
      </c>
      <c r="B18" s="1">
        <f t="array" ref="B18:I25">TRANSPOSE(B6:I13)</f>
        <v>0.8</v>
      </c>
      <c r="C18" s="1">
        <v>0.15</v>
      </c>
      <c r="D18" s="1">
        <v>0.05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3">
      <c r="A19" s="3" t="str">
        <f t="shared" ref="A19:A25" si="2">A7</f>
        <v>B</v>
      </c>
      <c r="B19" s="1">
        <v>0.1</v>
      </c>
      <c r="C19" s="1">
        <v>0.7</v>
      </c>
      <c r="D19" s="1">
        <v>0.05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3">
      <c r="A20" s="3" t="str">
        <f t="shared" si="2"/>
        <v>C</v>
      </c>
      <c r="B20" s="1">
        <v>0.1</v>
      </c>
      <c r="C20" s="1">
        <v>0.15</v>
      </c>
      <c r="D20" s="1">
        <v>0.9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3">
      <c r="A21" s="3" t="str">
        <f t="shared" si="2"/>
        <v>D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3">
      <c r="A22" s="3" t="str">
        <f t="shared" si="2"/>
        <v>E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3">
      <c r="A23" s="3" t="str">
        <f t="shared" si="2"/>
        <v>F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3">
      <c r="A24" s="3" t="str">
        <f t="shared" si="2"/>
        <v>G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3">
      <c r="A25" s="3" t="str">
        <f t="shared" si="2"/>
        <v>H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3">
      <c r="A26" s="13"/>
    </row>
    <row r="27" spans="1:9" hidden="1" x14ac:dyDescent="0.3"/>
    <row r="28" spans="1:9" hidden="1" x14ac:dyDescent="0.3">
      <c r="A28" s="38" t="s">
        <v>8</v>
      </c>
      <c r="B28" s="38"/>
      <c r="C28" s="38"/>
      <c r="D28" s="38"/>
      <c r="E28" s="38"/>
      <c r="F28" s="12"/>
      <c r="G28" s="12"/>
      <c r="H28" s="12"/>
      <c r="I28" s="12"/>
    </row>
    <row r="29" spans="1:9" hidden="1" x14ac:dyDescent="0.3">
      <c r="A29" s="1"/>
      <c r="B29" s="3" t="str">
        <f>B17</f>
        <v>A</v>
      </c>
      <c r="C29" s="3" t="str">
        <f t="shared" ref="C29:I29" si="3">C17</f>
        <v>B</v>
      </c>
      <c r="D29" s="3" t="str">
        <f t="shared" si="3"/>
        <v>C</v>
      </c>
      <c r="E29" s="3" t="str">
        <f t="shared" si="3"/>
        <v>D</v>
      </c>
      <c r="F29" s="3" t="str">
        <f t="shared" si="3"/>
        <v>E</v>
      </c>
      <c r="G29" s="3" t="str">
        <f t="shared" si="3"/>
        <v>F</v>
      </c>
      <c r="H29" s="3" t="str">
        <f t="shared" si="3"/>
        <v>G</v>
      </c>
      <c r="I29" s="3" t="str">
        <f t="shared" si="3"/>
        <v>H</v>
      </c>
    </row>
    <row r="30" spans="1:9" hidden="1" x14ac:dyDescent="0.3">
      <c r="A30" s="3" t="str">
        <f>A18</f>
        <v>A</v>
      </c>
      <c r="B30" s="1">
        <f>B18-1</f>
        <v>-0.19999999999999996</v>
      </c>
      <c r="C30" s="1">
        <f t="shared" ref="C30:E30" si="4">C18</f>
        <v>0.15</v>
      </c>
      <c r="D30" s="1">
        <f t="shared" si="4"/>
        <v>0.05</v>
      </c>
      <c r="E30" s="1">
        <f t="shared" si="4"/>
        <v>0</v>
      </c>
      <c r="F30" s="14">
        <f>F18</f>
        <v>0</v>
      </c>
      <c r="G30" s="14">
        <f t="shared" ref="G30:I30" si="5">G18</f>
        <v>0</v>
      </c>
      <c r="H30" s="14">
        <f t="shared" si="5"/>
        <v>0</v>
      </c>
      <c r="I30" s="14">
        <f t="shared" si="5"/>
        <v>0</v>
      </c>
    </row>
    <row r="31" spans="1:9" hidden="1" x14ac:dyDescent="0.3">
      <c r="A31" s="3" t="str">
        <f t="shared" ref="A31:E37" si="6">A19</f>
        <v>B</v>
      </c>
      <c r="B31" s="1">
        <f t="shared" ref="B31:H31" si="7">B19</f>
        <v>0.1</v>
      </c>
      <c r="C31" s="1">
        <f>C19-1</f>
        <v>-0.30000000000000004</v>
      </c>
      <c r="D31" s="1">
        <f t="shared" si="7"/>
        <v>0.05</v>
      </c>
      <c r="E31" s="1">
        <f t="shared" si="7"/>
        <v>0</v>
      </c>
      <c r="F31" s="14">
        <f t="shared" si="7"/>
        <v>0</v>
      </c>
      <c r="G31" s="14">
        <f t="shared" si="7"/>
        <v>0</v>
      </c>
      <c r="H31" s="14">
        <f t="shared" si="7"/>
        <v>0</v>
      </c>
      <c r="I31" s="14">
        <f t="shared" ref="I31" si="8">I19</f>
        <v>0</v>
      </c>
    </row>
    <row r="32" spans="1:9" hidden="1" x14ac:dyDescent="0.3">
      <c r="A32" s="3" t="str">
        <f t="shared" si="6"/>
        <v>C</v>
      </c>
      <c r="B32" s="1">
        <f t="shared" ref="B32:H32" si="9">B20</f>
        <v>0.1</v>
      </c>
      <c r="C32" s="1">
        <f t="shared" si="9"/>
        <v>0.15</v>
      </c>
      <c r="D32" s="1">
        <f>D20-1</f>
        <v>-9.9999999999999978E-2</v>
      </c>
      <c r="E32" s="1">
        <f t="shared" si="9"/>
        <v>0</v>
      </c>
      <c r="F32" s="14">
        <f t="shared" si="9"/>
        <v>0</v>
      </c>
      <c r="G32" s="14">
        <f t="shared" si="9"/>
        <v>0</v>
      </c>
      <c r="H32" s="14">
        <f t="shared" si="9"/>
        <v>0</v>
      </c>
      <c r="I32" s="14">
        <f t="shared" ref="I32" si="10">I20</f>
        <v>0</v>
      </c>
    </row>
    <row r="33" spans="1:9" hidden="1" x14ac:dyDescent="0.3">
      <c r="A33" s="3" t="str">
        <f t="shared" si="6"/>
        <v>D</v>
      </c>
      <c r="B33" s="1">
        <f t="shared" ref="B33:D33" si="11">B21</f>
        <v>0</v>
      </c>
      <c r="C33" s="1">
        <f t="shared" si="11"/>
        <v>0</v>
      </c>
      <c r="D33" s="1">
        <f t="shared" si="11"/>
        <v>0</v>
      </c>
      <c r="E33" s="1">
        <f>E21-1</f>
        <v>-1</v>
      </c>
      <c r="F33" s="14">
        <f t="shared" ref="F33:H37" si="12">F21</f>
        <v>0</v>
      </c>
      <c r="G33" s="14">
        <f t="shared" si="12"/>
        <v>0</v>
      </c>
      <c r="H33" s="14">
        <f t="shared" si="12"/>
        <v>0</v>
      </c>
      <c r="I33" s="14">
        <f t="shared" ref="I33" si="13">I21</f>
        <v>0</v>
      </c>
    </row>
    <row r="34" spans="1:9" hidden="1" x14ac:dyDescent="0.3">
      <c r="A34" s="3" t="str">
        <f t="shared" si="6"/>
        <v>E</v>
      </c>
      <c r="B34" s="1">
        <f t="shared" si="6"/>
        <v>0</v>
      </c>
      <c r="C34" s="1">
        <f t="shared" si="6"/>
        <v>0</v>
      </c>
      <c r="D34" s="1">
        <f t="shared" si="6"/>
        <v>0</v>
      </c>
      <c r="E34" s="14">
        <f>E22</f>
        <v>0</v>
      </c>
      <c r="F34" s="14">
        <f>F22-1</f>
        <v>-1</v>
      </c>
      <c r="G34" s="14">
        <f t="shared" si="12"/>
        <v>0</v>
      </c>
      <c r="H34" s="14">
        <f t="shared" si="12"/>
        <v>0</v>
      </c>
      <c r="I34" s="14">
        <f t="shared" ref="I34" si="14">I22</f>
        <v>0</v>
      </c>
    </row>
    <row r="35" spans="1:9" hidden="1" x14ac:dyDescent="0.3">
      <c r="A35" s="3" t="str">
        <f t="shared" si="6"/>
        <v>F</v>
      </c>
      <c r="B35" s="1">
        <f t="shared" si="6"/>
        <v>0</v>
      </c>
      <c r="C35" s="1">
        <f t="shared" si="6"/>
        <v>0</v>
      </c>
      <c r="D35" s="1">
        <f t="shared" si="6"/>
        <v>0</v>
      </c>
      <c r="E35" s="14">
        <f t="shared" si="6"/>
        <v>0</v>
      </c>
      <c r="F35" s="14">
        <f t="shared" si="12"/>
        <v>0</v>
      </c>
      <c r="G35" s="14">
        <f>G23-1</f>
        <v>-1</v>
      </c>
      <c r="H35" s="14">
        <f t="shared" si="12"/>
        <v>0</v>
      </c>
      <c r="I35" s="14">
        <f t="shared" ref="I35" si="15">I23</f>
        <v>0</v>
      </c>
    </row>
    <row r="36" spans="1:9" hidden="1" x14ac:dyDescent="0.3">
      <c r="A36" s="3" t="str">
        <f t="shared" si="6"/>
        <v>G</v>
      </c>
      <c r="B36" s="1">
        <f t="shared" si="6"/>
        <v>0</v>
      </c>
      <c r="C36" s="1">
        <f t="shared" si="6"/>
        <v>0</v>
      </c>
      <c r="D36" s="1">
        <f t="shared" si="6"/>
        <v>0</v>
      </c>
      <c r="E36" s="14">
        <f t="shared" si="6"/>
        <v>0</v>
      </c>
      <c r="F36" s="14">
        <f t="shared" si="12"/>
        <v>0</v>
      </c>
      <c r="G36" s="14">
        <f t="shared" si="12"/>
        <v>0</v>
      </c>
      <c r="H36" s="14">
        <f>H24-1</f>
        <v>-1</v>
      </c>
      <c r="I36" s="14">
        <f t="shared" ref="I36" si="16">I24</f>
        <v>0</v>
      </c>
    </row>
    <row r="37" spans="1:9" hidden="1" x14ac:dyDescent="0.3">
      <c r="A37" s="3" t="str">
        <f t="shared" si="6"/>
        <v>H</v>
      </c>
      <c r="B37" s="1">
        <f t="shared" si="6"/>
        <v>0</v>
      </c>
      <c r="C37" s="1">
        <f t="shared" si="6"/>
        <v>0</v>
      </c>
      <c r="D37" s="1">
        <f t="shared" si="6"/>
        <v>0</v>
      </c>
      <c r="E37" s="14">
        <f t="shared" si="6"/>
        <v>0</v>
      </c>
      <c r="F37" s="14">
        <f t="shared" si="12"/>
        <v>0</v>
      </c>
      <c r="G37" s="14">
        <f t="shared" si="12"/>
        <v>0</v>
      </c>
      <c r="H37" s="14">
        <f t="shared" si="12"/>
        <v>0</v>
      </c>
      <c r="I37" s="14">
        <f>I25-1</f>
        <v>-1</v>
      </c>
    </row>
    <row r="38" spans="1:9" hidden="1" x14ac:dyDescent="0.3">
      <c r="A38" s="8" t="s">
        <v>11</v>
      </c>
      <c r="B38" s="2">
        <v>0.27272726828192606</v>
      </c>
      <c r="C38" s="2">
        <v>0.18181817007986667</v>
      </c>
      <c r="D38" s="2">
        <v>0.54545456332677289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</row>
    <row r="39" spans="1:9" ht="24" x14ac:dyDescent="0.4">
      <c r="A39" s="15" t="s">
        <v>17</v>
      </c>
      <c r="B39" s="3" t="str">
        <f t="shared" ref="B39:I39" si="17">B5</f>
        <v>A</v>
      </c>
      <c r="C39" s="3" t="str">
        <f t="shared" si="17"/>
        <v>B</v>
      </c>
      <c r="D39" s="3" t="str">
        <f t="shared" si="17"/>
        <v>C</v>
      </c>
      <c r="E39" s="3" t="str">
        <f t="shared" si="17"/>
        <v>D</v>
      </c>
      <c r="F39" s="3" t="str">
        <f t="shared" si="17"/>
        <v>E</v>
      </c>
      <c r="G39" s="3" t="str">
        <f t="shared" si="17"/>
        <v>F</v>
      </c>
      <c r="H39" s="3" t="str">
        <f t="shared" si="17"/>
        <v>G</v>
      </c>
      <c r="I39" s="3" t="str">
        <f t="shared" si="17"/>
        <v>H</v>
      </c>
    </row>
    <row r="40" spans="1:9" x14ac:dyDescent="0.3">
      <c r="A40" s="7" t="s">
        <v>11</v>
      </c>
      <c r="B40" s="1">
        <f>B38</f>
        <v>0.27272726828192606</v>
      </c>
      <c r="C40" s="1">
        <f t="shared" ref="C40:I40" si="18">C38</f>
        <v>0.18181817007986667</v>
      </c>
      <c r="D40" s="1">
        <f t="shared" si="18"/>
        <v>0.54545456332677289</v>
      </c>
      <c r="E40" s="1">
        <f t="shared" si="18"/>
        <v>0</v>
      </c>
      <c r="F40" s="1">
        <f t="shared" si="18"/>
        <v>0</v>
      </c>
      <c r="G40" s="1">
        <f t="shared" si="18"/>
        <v>0</v>
      </c>
      <c r="H40" s="1">
        <f t="shared" si="18"/>
        <v>0</v>
      </c>
      <c r="I40" s="1">
        <f t="shared" si="18"/>
        <v>0</v>
      </c>
    </row>
  </sheetData>
  <mergeCells count="4">
    <mergeCell ref="A16:E16"/>
    <mergeCell ref="A1:W2"/>
    <mergeCell ref="A28:E28"/>
    <mergeCell ref="A4:I4"/>
  </mergeCells>
  <pageMargins left="0.7" right="0.7" top="0.75" bottom="0.75" header="0.3" footer="0.3"/>
  <pageSetup orientation="portrait" horizontalDpi="0" verticalDpi="0" r:id="rId1"/>
  <ignoredErrors>
    <ignoredError sqref="C31 D32" 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7314F-80B1-4E33-BF72-B9CF46043A79}">
  <sheetPr codeName="Sheet2"/>
  <dimension ref="A1:Y36"/>
  <sheetViews>
    <sheetView tabSelected="1" workbookViewId="0">
      <selection activeCell="J10" sqref="J10"/>
    </sheetView>
  </sheetViews>
  <sheetFormatPr defaultRowHeight="14.4" x14ac:dyDescent="0.3"/>
  <cols>
    <col min="1" max="1" width="10.77734375" customWidth="1"/>
    <col min="9" max="11" width="8.88671875" customWidth="1"/>
    <col min="12" max="12" width="11.5546875" customWidth="1"/>
  </cols>
  <sheetData>
    <row r="1" spans="1:23" x14ac:dyDescent="0.3">
      <c r="A1" s="41" t="s">
        <v>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</row>
    <row r="2" spans="1:23" x14ac:dyDescent="0.3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</row>
    <row r="3" spans="1:23" ht="15" thickBot="1" x14ac:dyDescent="0.35">
      <c r="A3" s="13"/>
      <c r="B3" s="13"/>
      <c r="C3" s="13"/>
      <c r="D3" s="13"/>
      <c r="E3" s="13"/>
      <c r="F3" s="13"/>
      <c r="G3" s="13"/>
    </row>
    <row r="4" spans="1:23" ht="15" thickBot="1" x14ac:dyDescent="0.35">
      <c r="A4" s="32" t="s">
        <v>19</v>
      </c>
      <c r="B4" s="33">
        <v>2</v>
      </c>
      <c r="C4" s="18"/>
      <c r="D4" s="18"/>
      <c r="E4" s="18"/>
      <c r="F4" s="18"/>
      <c r="G4" s="18"/>
      <c r="H4" s="19"/>
      <c r="L4" s="34" t="s">
        <v>19</v>
      </c>
      <c r="M4" s="35">
        <v>4</v>
      </c>
      <c r="N4" s="29"/>
      <c r="O4" s="29"/>
      <c r="P4" s="29"/>
      <c r="Q4" s="29"/>
      <c r="R4" s="29"/>
      <c r="S4" s="29"/>
      <c r="T4" s="29"/>
      <c r="U4" s="29"/>
      <c r="V4" s="29"/>
      <c r="W4" s="19"/>
    </row>
    <row r="5" spans="1:23" x14ac:dyDescent="0.3">
      <c r="A5" s="20"/>
      <c r="B5" s="13"/>
      <c r="C5" s="13"/>
      <c r="D5" s="13"/>
      <c r="E5" s="21"/>
      <c r="F5" s="21"/>
      <c r="G5" s="21"/>
      <c r="H5" s="22"/>
      <c r="L5" s="25"/>
      <c r="M5" s="21"/>
      <c r="N5" s="21"/>
      <c r="O5" s="21"/>
      <c r="P5" s="21"/>
      <c r="Q5" s="21"/>
      <c r="R5" s="21"/>
      <c r="S5" s="21"/>
      <c r="T5" s="21"/>
      <c r="U5" s="21"/>
      <c r="V5" s="21"/>
      <c r="W5" s="22"/>
    </row>
    <row r="6" spans="1:23" x14ac:dyDescent="0.3">
      <c r="A6" s="23" t="s">
        <v>5</v>
      </c>
      <c r="B6" s="3" t="s">
        <v>1</v>
      </c>
      <c r="C6" s="3" t="s">
        <v>2</v>
      </c>
      <c r="D6" s="21"/>
      <c r="E6" s="5" t="s">
        <v>20</v>
      </c>
      <c r="F6" s="3" t="s">
        <v>1</v>
      </c>
      <c r="G6" s="3" t="s">
        <v>2</v>
      </c>
      <c r="H6" s="22"/>
      <c r="L6" s="23" t="s">
        <v>5</v>
      </c>
      <c r="M6" s="3" t="s">
        <v>1</v>
      </c>
      <c r="N6" s="3" t="s">
        <v>2</v>
      </c>
      <c r="O6" s="3" t="s">
        <v>3</v>
      </c>
      <c r="P6" s="3" t="s">
        <v>4</v>
      </c>
      <c r="Q6" s="21"/>
      <c r="R6" s="5" t="s">
        <v>20</v>
      </c>
      <c r="S6" s="3" t="s">
        <v>1</v>
      </c>
      <c r="T6" s="3" t="s">
        <v>2</v>
      </c>
      <c r="U6" s="3" t="s">
        <v>3</v>
      </c>
      <c r="V6" s="3" t="s">
        <v>4</v>
      </c>
      <c r="W6" s="22"/>
    </row>
    <row r="7" spans="1:23" x14ac:dyDescent="0.3">
      <c r="A7" s="24" t="s">
        <v>1</v>
      </c>
      <c r="B7" s="4">
        <v>0.8</v>
      </c>
      <c r="C7" s="4">
        <v>0.1</v>
      </c>
      <c r="D7" s="21"/>
      <c r="E7" s="3" t="s">
        <v>1</v>
      </c>
      <c r="F7" s="1">
        <v>1</v>
      </c>
      <c r="G7" s="1">
        <v>0</v>
      </c>
      <c r="H7" s="22"/>
      <c r="L7" s="24" t="s">
        <v>1</v>
      </c>
      <c r="M7" s="4">
        <v>0.8</v>
      </c>
      <c r="N7" s="4">
        <v>0.1</v>
      </c>
      <c r="O7" s="4">
        <v>0.1</v>
      </c>
      <c r="P7" s="4">
        <v>0.2</v>
      </c>
      <c r="Q7" s="21"/>
      <c r="R7" s="3" t="s">
        <v>1</v>
      </c>
      <c r="S7" s="1">
        <v>1</v>
      </c>
      <c r="T7" s="1">
        <v>0</v>
      </c>
      <c r="U7" s="1">
        <v>0</v>
      </c>
      <c r="V7" s="1">
        <v>0</v>
      </c>
      <c r="W7" s="22"/>
    </row>
    <row r="8" spans="1:23" x14ac:dyDescent="0.3">
      <c r="A8" s="24" t="s">
        <v>2</v>
      </c>
      <c r="B8" s="4">
        <v>0.15</v>
      </c>
      <c r="C8" s="4">
        <v>0.7</v>
      </c>
      <c r="D8" s="21"/>
      <c r="E8" s="3" t="s">
        <v>2</v>
      </c>
      <c r="F8" s="1">
        <v>0</v>
      </c>
      <c r="G8" s="1">
        <v>1</v>
      </c>
      <c r="H8" s="22"/>
      <c r="L8" s="24" t="s">
        <v>2</v>
      </c>
      <c r="M8" s="4">
        <v>0.15</v>
      </c>
      <c r="N8" s="4">
        <v>0.7</v>
      </c>
      <c r="O8" s="4">
        <v>0.15</v>
      </c>
      <c r="P8" s="4">
        <v>0.1</v>
      </c>
      <c r="Q8" s="21"/>
      <c r="R8" s="3" t="s">
        <v>2</v>
      </c>
      <c r="S8" s="1">
        <v>0</v>
      </c>
      <c r="T8" s="1">
        <v>1</v>
      </c>
      <c r="U8" s="1">
        <v>0</v>
      </c>
      <c r="V8" s="1">
        <v>0</v>
      </c>
      <c r="W8" s="22"/>
    </row>
    <row r="9" spans="1:23" x14ac:dyDescent="0.3">
      <c r="A9" s="25"/>
      <c r="B9" s="21"/>
      <c r="C9" s="21"/>
      <c r="D9" s="21"/>
      <c r="E9" s="21"/>
      <c r="F9" s="21">
        <f>B13</f>
        <v>0</v>
      </c>
      <c r="G9" s="21">
        <f>C13</f>
        <v>0</v>
      </c>
      <c r="H9" s="22"/>
      <c r="L9" s="24" t="s">
        <v>3</v>
      </c>
      <c r="M9" s="4">
        <v>0.05</v>
      </c>
      <c r="N9" s="4">
        <v>0.05</v>
      </c>
      <c r="O9" s="4">
        <v>0.9</v>
      </c>
      <c r="P9" s="4">
        <v>0.3</v>
      </c>
      <c r="Q9" s="21"/>
      <c r="R9" s="3" t="s">
        <v>3</v>
      </c>
      <c r="S9" s="1">
        <v>0</v>
      </c>
      <c r="T9" s="1">
        <v>0</v>
      </c>
      <c r="U9" s="1">
        <v>1</v>
      </c>
      <c r="V9" s="1">
        <v>0</v>
      </c>
      <c r="W9" s="22"/>
    </row>
    <row r="10" spans="1:23" x14ac:dyDescent="0.3">
      <c r="A10" s="23" t="s">
        <v>9</v>
      </c>
      <c r="B10" s="3" t="s">
        <v>1</v>
      </c>
      <c r="C10" s="3" t="s">
        <v>2</v>
      </c>
      <c r="D10" s="21"/>
      <c r="E10" s="21"/>
      <c r="F10" s="21">
        <f>B14</f>
        <v>0</v>
      </c>
      <c r="G10" s="21">
        <f>C14</f>
        <v>0</v>
      </c>
      <c r="H10" s="22"/>
      <c r="L10" s="24" t="s">
        <v>4</v>
      </c>
      <c r="M10" s="4">
        <v>0.1</v>
      </c>
      <c r="N10" s="4">
        <v>0.2</v>
      </c>
      <c r="O10" s="4">
        <v>0.6</v>
      </c>
      <c r="P10" s="4">
        <v>0.2</v>
      </c>
      <c r="Q10" s="21"/>
      <c r="R10" s="3" t="s">
        <v>4</v>
      </c>
      <c r="S10" s="1">
        <v>0</v>
      </c>
      <c r="T10" s="1">
        <v>0</v>
      </c>
      <c r="U10" s="1">
        <v>0</v>
      </c>
      <c r="V10" s="1">
        <v>1</v>
      </c>
      <c r="W10" s="22"/>
    </row>
    <row r="11" spans="1:23" x14ac:dyDescent="0.3">
      <c r="A11" s="24" t="s">
        <v>1</v>
      </c>
      <c r="B11" s="17">
        <f t="array" ref="B11:C12">MMULT(B7:C8,F7:G8)</f>
        <v>0.8</v>
      </c>
      <c r="C11" s="17">
        <v>0.1</v>
      </c>
      <c r="D11" s="21"/>
      <c r="E11" s="21"/>
      <c r="F11" s="21"/>
      <c r="G11" s="21"/>
      <c r="H11" s="22"/>
      <c r="L11" s="25"/>
      <c r="M11" s="21"/>
      <c r="N11" s="21"/>
      <c r="O11" s="21"/>
      <c r="P11" s="21"/>
      <c r="Q11" s="21"/>
      <c r="R11" s="21"/>
      <c r="S11" s="21">
        <f>M17</f>
        <v>0</v>
      </c>
      <c r="T11" s="21">
        <f t="shared" ref="T11:V14" si="0">N17</f>
        <v>0</v>
      </c>
      <c r="U11" s="21">
        <f t="shared" si="0"/>
        <v>0</v>
      </c>
      <c r="V11" s="21">
        <f t="shared" si="0"/>
        <v>0</v>
      </c>
      <c r="W11" s="22"/>
    </row>
    <row r="12" spans="1:23" x14ac:dyDescent="0.3">
      <c r="A12" s="24" t="s">
        <v>2</v>
      </c>
      <c r="B12" s="17">
        <v>0.15</v>
      </c>
      <c r="C12" s="17">
        <v>0.7</v>
      </c>
      <c r="D12" s="21"/>
      <c r="E12" s="21"/>
      <c r="F12" s="21"/>
      <c r="G12" s="21"/>
      <c r="H12" s="22"/>
      <c r="L12" s="23" t="s">
        <v>9</v>
      </c>
      <c r="M12" s="3" t="s">
        <v>1</v>
      </c>
      <c r="N12" s="3" t="s">
        <v>2</v>
      </c>
      <c r="O12" s="3" t="s">
        <v>3</v>
      </c>
      <c r="P12" s="3" t="s">
        <v>4</v>
      </c>
      <c r="Q12" s="21"/>
      <c r="R12" s="21"/>
      <c r="S12" s="21">
        <f t="shared" ref="S12:S14" si="1">M18</f>
        <v>0</v>
      </c>
      <c r="T12" s="21">
        <f t="shared" si="0"/>
        <v>0</v>
      </c>
      <c r="U12" s="21">
        <f t="shared" si="0"/>
        <v>0</v>
      </c>
      <c r="V12" s="21">
        <f t="shared" si="0"/>
        <v>0</v>
      </c>
      <c r="W12" s="22"/>
    </row>
    <row r="13" spans="1:23" ht="15" thickBot="1" x14ac:dyDescent="0.35">
      <c r="A13" s="26"/>
      <c r="B13" s="27"/>
      <c r="C13" s="27"/>
      <c r="D13" s="27"/>
      <c r="E13" s="27"/>
      <c r="F13" s="27"/>
      <c r="G13" s="27"/>
      <c r="H13" s="28"/>
      <c r="L13" s="24" t="s">
        <v>1</v>
      </c>
      <c r="M13" s="17">
        <f t="array" ref="M13:P16">MMULT(M7:P10,S7:V10)</f>
        <v>0.8</v>
      </c>
      <c r="N13" s="17">
        <v>0.1</v>
      </c>
      <c r="O13" s="17">
        <v>0.1</v>
      </c>
      <c r="P13" s="17">
        <v>0.2</v>
      </c>
      <c r="Q13" s="21"/>
      <c r="R13" s="21"/>
      <c r="S13" s="21">
        <f t="shared" si="1"/>
        <v>0</v>
      </c>
      <c r="T13" s="21">
        <f t="shared" si="0"/>
        <v>0</v>
      </c>
      <c r="U13" s="21">
        <f t="shared" si="0"/>
        <v>0</v>
      </c>
      <c r="V13" s="21">
        <f t="shared" si="0"/>
        <v>0</v>
      </c>
      <c r="W13" s="22"/>
    </row>
    <row r="14" spans="1:23" ht="15" thickBot="1" x14ac:dyDescent="0.35">
      <c r="L14" s="24" t="s">
        <v>2</v>
      </c>
      <c r="M14" s="17">
        <v>0.15</v>
      </c>
      <c r="N14" s="17">
        <v>0.7</v>
      </c>
      <c r="O14" s="17">
        <v>0.15</v>
      </c>
      <c r="P14" s="17">
        <v>0.1</v>
      </c>
      <c r="Q14" s="21"/>
      <c r="R14" s="21"/>
      <c r="S14" s="21">
        <f t="shared" si="1"/>
        <v>0</v>
      </c>
      <c r="T14" s="21">
        <f t="shared" si="0"/>
        <v>0</v>
      </c>
      <c r="U14" s="21">
        <f t="shared" si="0"/>
        <v>0</v>
      </c>
      <c r="V14" s="21">
        <f t="shared" si="0"/>
        <v>0</v>
      </c>
      <c r="W14" s="22"/>
    </row>
    <row r="15" spans="1:23" ht="15" thickBot="1" x14ac:dyDescent="0.35">
      <c r="A15" s="34" t="s">
        <v>21</v>
      </c>
      <c r="B15" s="35">
        <v>3</v>
      </c>
      <c r="C15" s="29"/>
      <c r="D15" s="29"/>
      <c r="E15" s="29"/>
      <c r="F15" s="29"/>
      <c r="G15" s="29"/>
      <c r="H15" s="29"/>
      <c r="I15" s="29"/>
      <c r="J15" s="19"/>
      <c r="L15" s="24" t="s">
        <v>3</v>
      </c>
      <c r="M15" s="17">
        <v>0.05</v>
      </c>
      <c r="N15" s="17">
        <v>0.05</v>
      </c>
      <c r="O15" s="17">
        <v>0.9</v>
      </c>
      <c r="P15" s="17">
        <v>0.3</v>
      </c>
      <c r="Q15" s="21"/>
      <c r="R15" s="21"/>
      <c r="S15" s="21"/>
      <c r="T15" s="21"/>
      <c r="U15" s="21"/>
      <c r="V15" s="21"/>
      <c r="W15" s="22"/>
    </row>
    <row r="16" spans="1:23" x14ac:dyDescent="0.3">
      <c r="A16" s="25"/>
      <c r="B16" s="21"/>
      <c r="C16" s="21"/>
      <c r="D16" s="21"/>
      <c r="E16" s="21"/>
      <c r="F16" s="21"/>
      <c r="G16" s="21"/>
      <c r="H16" s="21"/>
      <c r="I16" s="21"/>
      <c r="J16" s="22"/>
      <c r="L16" s="24" t="s">
        <v>4</v>
      </c>
      <c r="M16" s="17">
        <v>0.1</v>
      </c>
      <c r="N16" s="17">
        <v>0.2</v>
      </c>
      <c r="O16" s="17">
        <v>0.6</v>
      </c>
      <c r="P16" s="17">
        <v>0.2</v>
      </c>
      <c r="Q16" s="21"/>
      <c r="R16" s="21"/>
      <c r="S16" s="21"/>
      <c r="T16" s="21"/>
      <c r="U16" s="21"/>
      <c r="V16" s="21"/>
      <c r="W16" s="22"/>
    </row>
    <row r="17" spans="1:25" ht="15" thickBot="1" x14ac:dyDescent="0.35">
      <c r="A17" s="23" t="s">
        <v>5</v>
      </c>
      <c r="B17" s="3" t="s">
        <v>1</v>
      </c>
      <c r="C17" s="3" t="s">
        <v>2</v>
      </c>
      <c r="D17" s="3" t="s">
        <v>3</v>
      </c>
      <c r="E17" s="21"/>
      <c r="F17" s="5" t="s">
        <v>20</v>
      </c>
      <c r="G17" s="3" t="s">
        <v>1</v>
      </c>
      <c r="H17" s="3" t="s">
        <v>2</v>
      </c>
      <c r="I17" s="3" t="s">
        <v>3</v>
      </c>
      <c r="J17" s="22"/>
      <c r="L17" s="30"/>
      <c r="M17" s="31"/>
      <c r="N17" s="31"/>
      <c r="O17" s="31"/>
      <c r="P17" s="31"/>
      <c r="Q17" s="27"/>
      <c r="R17" s="27"/>
      <c r="S17" s="27"/>
      <c r="T17" s="27"/>
      <c r="U17" s="27"/>
      <c r="V17" s="27"/>
      <c r="W17" s="28"/>
    </row>
    <row r="18" spans="1:25" x14ac:dyDescent="0.3">
      <c r="A18" s="24" t="s">
        <v>1</v>
      </c>
      <c r="B18" s="4">
        <v>0.8</v>
      </c>
      <c r="C18" s="4">
        <v>0.1</v>
      </c>
      <c r="D18" s="4">
        <v>0.1</v>
      </c>
      <c r="E18" s="21"/>
      <c r="F18" s="3" t="s">
        <v>1</v>
      </c>
      <c r="G18" s="1">
        <v>1</v>
      </c>
      <c r="H18" s="1">
        <v>0</v>
      </c>
      <c r="I18" s="1">
        <v>0</v>
      </c>
      <c r="J18" s="22"/>
      <c r="L18" s="13"/>
      <c r="M18" s="13"/>
      <c r="N18" s="13"/>
      <c r="O18" s="13"/>
      <c r="P18" s="13"/>
    </row>
    <row r="19" spans="1:25" x14ac:dyDescent="0.3">
      <c r="A19" s="24" t="s">
        <v>2</v>
      </c>
      <c r="B19" s="4">
        <v>0.15</v>
      </c>
      <c r="C19" s="4">
        <v>0.7</v>
      </c>
      <c r="D19" s="4">
        <v>0.15</v>
      </c>
      <c r="E19" s="21"/>
      <c r="F19" s="3" t="s">
        <v>2</v>
      </c>
      <c r="G19" s="1">
        <v>0</v>
      </c>
      <c r="H19" s="1">
        <v>1</v>
      </c>
      <c r="I19" s="1">
        <v>0</v>
      </c>
      <c r="J19" s="22"/>
    </row>
    <row r="20" spans="1:25" ht="15" thickBot="1" x14ac:dyDescent="0.35">
      <c r="A20" s="24" t="s">
        <v>3</v>
      </c>
      <c r="B20" s="4">
        <v>0.05</v>
      </c>
      <c r="C20" s="4">
        <v>0.05</v>
      </c>
      <c r="D20" s="4">
        <v>0.9</v>
      </c>
      <c r="E20" s="21"/>
      <c r="F20" s="3" t="s">
        <v>3</v>
      </c>
      <c r="G20" s="1">
        <v>0</v>
      </c>
      <c r="H20" s="1">
        <v>0</v>
      </c>
      <c r="I20" s="1">
        <v>1</v>
      </c>
      <c r="J20" s="22"/>
    </row>
    <row r="21" spans="1:25" ht="15" thickBot="1" x14ac:dyDescent="0.35">
      <c r="A21" s="25"/>
      <c r="B21" s="21"/>
      <c r="C21" s="21"/>
      <c r="D21" s="21"/>
      <c r="E21" s="21"/>
      <c r="F21" s="21"/>
      <c r="G21" s="21">
        <f>B26</f>
        <v>0</v>
      </c>
      <c r="H21" s="21">
        <f t="shared" ref="H21:I23" si="2">C26</f>
        <v>0</v>
      </c>
      <c r="I21" s="21">
        <f t="shared" si="2"/>
        <v>0</v>
      </c>
      <c r="J21" s="22"/>
      <c r="L21" s="32" t="s">
        <v>19</v>
      </c>
      <c r="M21" s="35">
        <v>5</v>
      </c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19"/>
    </row>
    <row r="22" spans="1:25" x14ac:dyDescent="0.3">
      <c r="A22" s="23" t="s">
        <v>9</v>
      </c>
      <c r="B22" s="3" t="s">
        <v>1</v>
      </c>
      <c r="C22" s="3" t="s">
        <v>2</v>
      </c>
      <c r="D22" s="3" t="s">
        <v>3</v>
      </c>
      <c r="E22" s="21"/>
      <c r="F22" s="21"/>
      <c r="G22" s="21">
        <f t="shared" ref="G22:G23" si="3">B27</f>
        <v>0</v>
      </c>
      <c r="H22" s="21">
        <f t="shared" si="2"/>
        <v>0</v>
      </c>
      <c r="I22" s="21">
        <f t="shared" si="2"/>
        <v>0</v>
      </c>
      <c r="J22" s="22"/>
      <c r="L22" s="25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2"/>
    </row>
    <row r="23" spans="1:25" x14ac:dyDescent="0.3">
      <c r="A23" s="24" t="s">
        <v>1</v>
      </c>
      <c r="B23" s="17">
        <f t="array" ref="B23:D25">MMULT(B18:D20,G18:I20)</f>
        <v>0.8</v>
      </c>
      <c r="C23" s="17">
        <v>0.1</v>
      </c>
      <c r="D23" s="17">
        <v>0.1</v>
      </c>
      <c r="E23" s="21"/>
      <c r="F23" s="21"/>
      <c r="G23" s="21">
        <f t="shared" si="3"/>
        <v>0</v>
      </c>
      <c r="H23" s="21">
        <f t="shared" si="2"/>
        <v>0</v>
      </c>
      <c r="I23" s="21">
        <f t="shared" si="2"/>
        <v>0</v>
      </c>
      <c r="J23" s="22"/>
      <c r="L23" s="23" t="s">
        <v>5</v>
      </c>
      <c r="M23" s="3" t="s">
        <v>1</v>
      </c>
      <c r="N23" s="3" t="s">
        <v>2</v>
      </c>
      <c r="O23" s="3" t="s">
        <v>3</v>
      </c>
      <c r="P23" s="3" t="s">
        <v>4</v>
      </c>
      <c r="Q23" s="3" t="s">
        <v>12</v>
      </c>
      <c r="R23" s="21"/>
      <c r="S23" s="5" t="s">
        <v>20</v>
      </c>
      <c r="T23" s="3" t="s">
        <v>1</v>
      </c>
      <c r="U23" s="3" t="s">
        <v>2</v>
      </c>
      <c r="V23" s="3" t="s">
        <v>3</v>
      </c>
      <c r="W23" s="3" t="s">
        <v>4</v>
      </c>
      <c r="X23" s="3" t="s">
        <v>12</v>
      </c>
      <c r="Y23" s="22"/>
    </row>
    <row r="24" spans="1:25" x14ac:dyDescent="0.3">
      <c r="A24" s="24" t="s">
        <v>2</v>
      </c>
      <c r="B24" s="17">
        <v>0.15</v>
      </c>
      <c r="C24" s="17">
        <v>0.7</v>
      </c>
      <c r="D24" s="17">
        <v>0.15</v>
      </c>
      <c r="E24" s="21"/>
      <c r="F24" s="21"/>
      <c r="G24" s="21"/>
      <c r="H24" s="21"/>
      <c r="I24" s="21"/>
      <c r="J24" s="22"/>
      <c r="L24" s="24" t="s">
        <v>1</v>
      </c>
      <c r="M24" s="4">
        <v>0.8</v>
      </c>
      <c r="N24" s="4">
        <v>0.1</v>
      </c>
      <c r="O24" s="4">
        <v>0.1</v>
      </c>
      <c r="P24" s="4">
        <v>0.2</v>
      </c>
      <c r="Q24" s="4">
        <v>0.1</v>
      </c>
      <c r="R24" s="21"/>
      <c r="S24" s="3" t="s">
        <v>1</v>
      </c>
      <c r="T24" s="1">
        <v>1</v>
      </c>
      <c r="U24" s="1">
        <v>0</v>
      </c>
      <c r="V24" s="1">
        <v>0</v>
      </c>
      <c r="W24" s="1">
        <v>0</v>
      </c>
      <c r="X24" s="1">
        <v>0</v>
      </c>
      <c r="Y24" s="22"/>
    </row>
    <row r="25" spans="1:25" x14ac:dyDescent="0.3">
      <c r="A25" s="24" t="s">
        <v>3</v>
      </c>
      <c r="B25" s="17">
        <v>0.05</v>
      </c>
      <c r="C25" s="17">
        <v>0.05</v>
      </c>
      <c r="D25" s="17">
        <v>0.9</v>
      </c>
      <c r="E25" s="21"/>
      <c r="F25" s="21"/>
      <c r="G25" s="21"/>
      <c r="H25" s="21"/>
      <c r="I25" s="21"/>
      <c r="J25" s="22"/>
      <c r="L25" s="24" t="s">
        <v>2</v>
      </c>
      <c r="M25" s="4">
        <v>0.15</v>
      </c>
      <c r="N25" s="4">
        <v>0.7</v>
      </c>
      <c r="O25" s="4">
        <v>0.15</v>
      </c>
      <c r="P25" s="4">
        <v>0.1</v>
      </c>
      <c r="Q25" s="4">
        <v>0.15</v>
      </c>
      <c r="R25" s="21"/>
      <c r="S25" s="3" t="s">
        <v>2</v>
      </c>
      <c r="T25" s="1">
        <v>0</v>
      </c>
      <c r="U25" s="1">
        <v>1</v>
      </c>
      <c r="V25" s="1">
        <v>0</v>
      </c>
      <c r="W25" s="1">
        <v>0</v>
      </c>
      <c r="X25" s="1">
        <v>0</v>
      </c>
      <c r="Y25" s="22"/>
    </row>
    <row r="26" spans="1:25" ht="15" thickBot="1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8"/>
      <c r="L26" s="24" t="s">
        <v>3</v>
      </c>
      <c r="M26" s="4">
        <v>0.05</v>
      </c>
      <c r="N26" s="4">
        <v>0.05</v>
      </c>
      <c r="O26" s="4">
        <v>0.9</v>
      </c>
      <c r="P26" s="4">
        <v>0.3</v>
      </c>
      <c r="Q26" s="4">
        <v>0.9</v>
      </c>
      <c r="R26" s="21"/>
      <c r="S26" s="3" t="s">
        <v>3</v>
      </c>
      <c r="T26" s="1">
        <v>0</v>
      </c>
      <c r="U26" s="1">
        <v>0</v>
      </c>
      <c r="V26" s="1">
        <v>1</v>
      </c>
      <c r="W26" s="1">
        <v>0</v>
      </c>
      <c r="X26" s="1">
        <v>0</v>
      </c>
      <c r="Y26" s="22"/>
    </row>
    <row r="27" spans="1:25" x14ac:dyDescent="0.3">
      <c r="L27" s="24" t="s">
        <v>4</v>
      </c>
      <c r="M27" s="4">
        <v>0.1</v>
      </c>
      <c r="N27" s="4">
        <v>0.2</v>
      </c>
      <c r="O27" s="4">
        <v>0.6</v>
      </c>
      <c r="P27" s="4">
        <v>0.2</v>
      </c>
      <c r="Q27" s="4">
        <v>0.6</v>
      </c>
      <c r="R27" s="21"/>
      <c r="S27" s="3" t="s">
        <v>4</v>
      </c>
      <c r="T27" s="1">
        <v>0</v>
      </c>
      <c r="U27" s="1">
        <v>0</v>
      </c>
      <c r="V27" s="1">
        <v>0</v>
      </c>
      <c r="W27" s="1">
        <v>1</v>
      </c>
      <c r="X27" s="1">
        <v>0</v>
      </c>
      <c r="Y27" s="22"/>
    </row>
    <row r="28" spans="1:25" x14ac:dyDescent="0.3">
      <c r="L28" s="24" t="s">
        <v>12</v>
      </c>
      <c r="M28" s="4">
        <v>0.1</v>
      </c>
      <c r="N28" s="4">
        <v>0.2</v>
      </c>
      <c r="O28" s="4">
        <v>0.6</v>
      </c>
      <c r="P28" s="4">
        <v>0.2</v>
      </c>
      <c r="Q28" s="4">
        <v>0.8</v>
      </c>
      <c r="R28" s="21"/>
      <c r="S28" s="3" t="s">
        <v>12</v>
      </c>
      <c r="T28" s="1">
        <v>0</v>
      </c>
      <c r="U28" s="1">
        <v>0</v>
      </c>
      <c r="V28" s="1">
        <v>0</v>
      </c>
      <c r="W28" s="1">
        <v>0</v>
      </c>
      <c r="X28" s="1">
        <v>1</v>
      </c>
      <c r="Y28" s="22"/>
    </row>
    <row r="29" spans="1:25" x14ac:dyDescent="0.3">
      <c r="L29" s="25"/>
      <c r="M29" s="21"/>
      <c r="N29" s="21"/>
      <c r="O29" s="21"/>
      <c r="P29" s="21"/>
      <c r="Q29" s="21"/>
      <c r="R29" s="21"/>
      <c r="S29" s="21"/>
      <c r="T29" s="21">
        <f>M36</f>
        <v>0</v>
      </c>
      <c r="U29" s="21">
        <f t="shared" ref="U29:X33" si="4">N36</f>
        <v>0</v>
      </c>
      <c r="V29" s="21">
        <f t="shared" si="4"/>
        <v>0</v>
      </c>
      <c r="W29" s="21">
        <f t="shared" si="4"/>
        <v>0</v>
      </c>
      <c r="X29" s="21">
        <f t="shared" si="4"/>
        <v>0</v>
      </c>
      <c r="Y29" s="22"/>
    </row>
    <row r="30" spans="1:25" x14ac:dyDescent="0.3">
      <c r="L30" s="23" t="s">
        <v>9</v>
      </c>
      <c r="M30" s="3" t="s">
        <v>1</v>
      </c>
      <c r="N30" s="3" t="s">
        <v>2</v>
      </c>
      <c r="O30" s="3" t="s">
        <v>3</v>
      </c>
      <c r="P30" s="3" t="s">
        <v>4</v>
      </c>
      <c r="Q30" s="3" t="s">
        <v>12</v>
      </c>
      <c r="R30" s="21"/>
      <c r="S30" s="21"/>
      <c r="T30" s="21">
        <f t="shared" ref="T30:T33" si="5">M37</f>
        <v>0</v>
      </c>
      <c r="U30" s="21">
        <f t="shared" si="4"/>
        <v>0</v>
      </c>
      <c r="V30" s="21">
        <f t="shared" si="4"/>
        <v>0</v>
      </c>
      <c r="W30" s="21">
        <f t="shared" si="4"/>
        <v>0</v>
      </c>
      <c r="X30" s="21">
        <f t="shared" si="4"/>
        <v>0</v>
      </c>
      <c r="Y30" s="22"/>
    </row>
    <row r="31" spans="1:25" x14ac:dyDescent="0.3">
      <c r="L31" s="24" t="s">
        <v>1</v>
      </c>
      <c r="M31" s="17">
        <f t="array" ref="M31:Q35">MMULT(M24:Q28,T24:X28)</f>
        <v>0.8</v>
      </c>
      <c r="N31" s="17">
        <v>0.1</v>
      </c>
      <c r="O31" s="17">
        <v>0.1</v>
      </c>
      <c r="P31" s="17">
        <v>0.2</v>
      </c>
      <c r="Q31" s="17">
        <v>0.1</v>
      </c>
      <c r="R31" s="21"/>
      <c r="S31" s="21"/>
      <c r="T31" s="21">
        <f t="shared" si="5"/>
        <v>0</v>
      </c>
      <c r="U31" s="21">
        <f t="shared" si="4"/>
        <v>0</v>
      </c>
      <c r="V31" s="21">
        <f t="shared" si="4"/>
        <v>0</v>
      </c>
      <c r="W31" s="21">
        <f t="shared" si="4"/>
        <v>0</v>
      </c>
      <c r="X31" s="21">
        <f t="shared" si="4"/>
        <v>0</v>
      </c>
      <c r="Y31" s="22"/>
    </row>
    <row r="32" spans="1:25" x14ac:dyDescent="0.3">
      <c r="L32" s="24" t="s">
        <v>2</v>
      </c>
      <c r="M32" s="17">
        <v>0.15</v>
      </c>
      <c r="N32" s="17">
        <v>0.7</v>
      </c>
      <c r="O32" s="17">
        <v>0.15</v>
      </c>
      <c r="P32" s="17">
        <v>0.1</v>
      </c>
      <c r="Q32" s="17">
        <v>0.15</v>
      </c>
      <c r="R32" s="21"/>
      <c r="S32" s="21"/>
      <c r="T32" s="21">
        <f t="shared" si="5"/>
        <v>0</v>
      </c>
      <c r="U32" s="21">
        <f t="shared" si="4"/>
        <v>0</v>
      </c>
      <c r="V32" s="21">
        <f t="shared" si="4"/>
        <v>0</v>
      </c>
      <c r="W32" s="21">
        <f t="shared" si="4"/>
        <v>0</v>
      </c>
      <c r="X32" s="21">
        <f t="shared" si="4"/>
        <v>0</v>
      </c>
      <c r="Y32" s="22"/>
    </row>
    <row r="33" spans="12:25" x14ac:dyDescent="0.3">
      <c r="L33" s="24" t="s">
        <v>3</v>
      </c>
      <c r="M33" s="17">
        <v>0.05</v>
      </c>
      <c r="N33" s="17">
        <v>0.05</v>
      </c>
      <c r="O33" s="17">
        <v>0.9</v>
      </c>
      <c r="P33" s="17">
        <v>0.3</v>
      </c>
      <c r="Q33" s="17">
        <v>0.9</v>
      </c>
      <c r="R33" s="21"/>
      <c r="S33" s="21"/>
      <c r="T33" s="21">
        <f t="shared" si="5"/>
        <v>0</v>
      </c>
      <c r="U33" s="21">
        <f t="shared" si="4"/>
        <v>0</v>
      </c>
      <c r="V33" s="21">
        <f t="shared" si="4"/>
        <v>0</v>
      </c>
      <c r="W33" s="21">
        <f t="shared" si="4"/>
        <v>0</v>
      </c>
      <c r="X33" s="21">
        <f t="shared" si="4"/>
        <v>0</v>
      </c>
      <c r="Y33" s="22"/>
    </row>
    <row r="34" spans="12:25" x14ac:dyDescent="0.3">
      <c r="L34" s="24" t="s">
        <v>4</v>
      </c>
      <c r="M34" s="17">
        <v>0.1</v>
      </c>
      <c r="N34" s="17">
        <v>0.2</v>
      </c>
      <c r="O34" s="17">
        <v>0.6</v>
      </c>
      <c r="P34" s="17">
        <v>0.2</v>
      </c>
      <c r="Q34" s="17">
        <v>0.6</v>
      </c>
      <c r="R34" s="21"/>
      <c r="S34" s="21"/>
      <c r="T34" s="21"/>
      <c r="U34" s="21"/>
      <c r="V34" s="21"/>
      <c r="W34" s="21"/>
      <c r="X34" s="21"/>
      <c r="Y34" s="22"/>
    </row>
    <row r="35" spans="12:25" x14ac:dyDescent="0.3">
      <c r="L35" s="24" t="s">
        <v>12</v>
      </c>
      <c r="M35" s="17">
        <v>0.1</v>
      </c>
      <c r="N35" s="17">
        <v>0.2</v>
      </c>
      <c r="O35" s="17">
        <v>0.6</v>
      </c>
      <c r="P35" s="17">
        <v>0.2</v>
      </c>
      <c r="Q35" s="17">
        <v>0.8</v>
      </c>
      <c r="R35" s="21"/>
      <c r="S35" s="21"/>
      <c r="T35" s="21"/>
      <c r="U35" s="21"/>
      <c r="V35" s="21"/>
      <c r="W35" s="21"/>
      <c r="X35" s="21"/>
      <c r="Y35" s="22"/>
    </row>
    <row r="36" spans="12:25" ht="15" thickBot="1" x14ac:dyDescent="0.35">
      <c r="L36" s="26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8"/>
    </row>
  </sheetData>
  <mergeCells count="1">
    <mergeCell ref="A1:W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3" name="Button 15">
              <controlPr defaultSize="0" print="0" autoFill="0" autoPict="0" macro="[0]!Macro16">
                <anchor moveWithCells="1" sizeWithCells="1">
                  <from>
                    <xdr:col>3</xdr:col>
                    <xdr:colOff>601980</xdr:colOff>
                    <xdr:row>10</xdr:row>
                    <xdr:rowOff>45720</xdr:rowOff>
                  </from>
                  <to>
                    <xdr:col>5</xdr:col>
                    <xdr:colOff>487680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Macro17">
                <anchor moveWithCells="1" sizeWithCells="1">
                  <from>
                    <xdr:col>4</xdr:col>
                    <xdr:colOff>350520</xdr:colOff>
                    <xdr:row>23</xdr:row>
                    <xdr:rowOff>22860</xdr:rowOff>
                  </from>
                  <to>
                    <xdr:col>6</xdr:col>
                    <xdr:colOff>175260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Macro19">
                <anchor moveWithCells="1" sizeWithCells="1">
                  <from>
                    <xdr:col>17</xdr:col>
                    <xdr:colOff>45720</xdr:colOff>
                    <xdr:row>14</xdr:row>
                    <xdr:rowOff>7620</xdr:rowOff>
                  </from>
                  <to>
                    <xdr:col>19</xdr:col>
                    <xdr:colOff>7620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Macro20">
                <anchor moveWithCells="1" sizeWithCells="1">
                  <from>
                    <xdr:col>18</xdr:col>
                    <xdr:colOff>15240</xdr:colOff>
                    <xdr:row>33</xdr:row>
                    <xdr:rowOff>30480</xdr:rowOff>
                  </from>
                  <to>
                    <xdr:col>19</xdr:col>
                    <xdr:colOff>594360</xdr:colOff>
                    <xdr:row>35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stationary calc</vt:lpstr>
      <vt:lpstr>Matrix exponential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Akhilesh Tibrewal</dc:creator>
  <cp:lastModifiedBy>Akhilesh Tibrewal</cp:lastModifiedBy>
  <dcterms:created xsi:type="dcterms:W3CDTF">2021-05-19T13:27:13Z</dcterms:created>
  <dcterms:modified xsi:type="dcterms:W3CDTF">2021-05-20T07:06:04Z</dcterms:modified>
</cp:coreProperties>
</file>